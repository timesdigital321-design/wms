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<sst xmlns="http://schemas.openxmlformats.org/spreadsheetml/2006/main" count="50" uniqueCount="49">
  <si>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Mohammad Siddiq Warehouse — Billing Template</t>
  </si>
  <si>
    <t xml:space="preserve">Use this template to create invoices for upload. One bill per block of rows.</t>
  </si>
  <si>
    <t xml:space="preserve">BILL INFORMATION</t>
  </si>
  <si>
    <t xml:space="preserve">PAYMENT DETAILS</t>
  </si>
  <si>
    <t xml:space="preserve">Bill # *</t>
  </si>
  <si>
    <t xml:space="preserve">Bill Date *
(DD/MM/YYYY)</t>
  </si>
  <si>
    <t xml:space="preserve">Customer Name *</t>
  </si>
  <si>
    <t xml:space="preserve">Customer Phone</t>
  </si>
  <si>
    <t xml:space="preserve">Customer Email</t>
  </si>
  <si>
    <t xml:space="preserve">Delivery Address</t>
  </si>
  <si>
    <t xml:space="preserve">Payment Terms</t>
  </si>
  <si>
    <t xml:space="preserve">Due Date
(DD/MM/YYYY)</t>
  </si>
  <si>
    <t xml:space="preserve">Payment Method</t>
  </si>
  <si>
    <t xml:space="preserve">VAT % *</t>
  </si>
  <si>
    <t xml:space="preserve">Currency</t>
  </si>
  <si>
    <t xml:space="preserve">Notes</t>
  </si>
  <si>
    <t xml:space="preserve">BILL-0284</t>
  </si>
  <si>
    <t xml:space="preserve">14/06/2024</t>
  </si>
  <si>
    <t xml:space="preserve">Gulf Industries LLC</t>
  </si>
  <si>
    <t xml:space="preserve">+966 12 345 6789</t>
  </si>
  <si>
    <t xml:space="preserve">info@gulf.sa</t>
  </si>
  <si>
    <t xml:space="preserve">Jubail Industrial City, Zone 3</t>
  </si>
  <si>
    <t xml:space="preserve">Net 30</t>
  </si>
  <si>
    <t xml:space="preserve">14/07/2024</t>
  </si>
  <si>
    <t xml:space="preserve">Bank Transfer</t>
  </si>
  <si>
    <t xml:space="preserve">SAR</t>
  </si>
  <si>
    <t xml:space="preserve">VAT registered customer</t>
  </si>
  <si>
    <t xml:space="preserve">#</t>
  </si>
  <si>
    <t xml:space="preserve">SKU</t>
  </si>
  <si>
    <t xml:space="preserve">Item Description *</t>
  </si>
  <si>
    <t xml:space="preserve">Unit</t>
  </si>
  <si>
    <t xml:space="preserve">Quantity *</t>
  </si>
  <si>
    <t xml:space="preserve">Unit Price (SAR) *</t>
  </si>
  <si>
    <t xml:space="preserve">Discount %</t>
  </si>
  <si>
    <t xml:space="preserve">Net Amount (SAR)</t>
  </si>
  <si>
    <t xml:space="preserve">VAT Amount (SAR)</t>
  </si>
  <si>
    <t xml:space="preserve">Total (SAR)</t>
  </si>
  <si>
    <t xml:space="preserve">FIN-001</t>
  </si>
  <si>
    <t xml:space="preserve">Finished Panel A4</t>
  </si>
  <si>
    <t xml:space="preserve">PCS</t>
  </si>
  <si>
    <t xml:space="preserve">ELC-001</t>
  </si>
  <si>
    <t xml:space="preserve">Motor Controller Unit</t>
  </si>
  <si>
    <t xml:space="preserve">SPA-001</t>
  </si>
  <si>
    <t xml:space="preserve">Bearing SKF 6205</t>
  </si>
  <si>
    <t xml:space="preserve">SET</t>
  </si>
  <si>
    <t xml:space="preserve">Subtotal (before VAT)</t>
  </si>
  <si>
    <t xml:space="preserve">Total VAT (15%)</t>
  </si>
  <si>
    <t xml:space="preserve">GRAND TOTAL (SAR)</t>
  </si>
  <si>
    <t xml:space="preserve">Mohammad Siddiq Warehouse Management System  |  Blue text = required inputs  |  Black text = auto-calculated  |  Upload via Billing &gt; Upload Bills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</si>
</sst>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C8A84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CD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A1628"/>
      <name val="Arial"/>
      <family val="0"/>
      <charset val="1"/>
    </font>
    <font>
      <b val="true"/>
      <sz val="12"/>
      <color rgb="FFC8A84B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0F6E56"/>
        <bgColor rgb="FF008080"/>
      </patternFill>
    </fill>
    <fill>
      <patternFill patternType="solid">
        <fgColor rgb="FFFFFFFF"/>
        <bgColor rgb="FFF0FFFD"/>
      </patternFill>
    </fill>
    <fill>
      <patternFill patternType="solid">
        <fgColor rgb="FFF0FFFD"/>
        <bgColor rgb="FFFFFFFF"/>
      </patternFill>
    </fill>
    <fill>
      <patternFill patternType="solid">
        <fgColor rgb="FFF4F4F4"/>
        <bgColor rgb="FFF0FF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D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CCCCC"/>
      <rgbColor rgb="FF888888"/>
      <rgbColor rgb="FF9999FF"/>
      <rgbColor rgb="FF993366"/>
      <rgbColor rgb="FFF4F4F4"/>
      <rgbColor rgb="FFF0FF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84B"/>
      <rgbColor rgb="FF003366"/>
      <rgbColor rgb="FF339966"/>
      <rgbColor rgb="FF0A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10" min="8" style="1" width="18"/>
    <col collapsed="false" customWidth="true" hidden="false" outlineLevel="0" max="11" min="11" style="1" width="14"/>
    <col collapsed="false" customWidth="true" hidden="false" outlineLevel="0" max="12" min="12" style="1" width="22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  <c r="G3" s="4" t="s">
        <v>3</v>
      </c>
      <c r="H3" s="4"/>
      <c r="I3" s="4"/>
      <c r="J3" s="4"/>
      <c r="K3" s="4"/>
      <c r="L3" s="4"/>
    </row>
    <row r="4" customFormat="false" ht="31.5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customFormat="false" ht="21.75" hidden="false" customHeight="true" outlineLevel="0" collapsed="false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7" t="s">
        <v>23</v>
      </c>
      <c r="I5" s="6" t="s">
        <v>24</v>
      </c>
      <c r="J5" s="6" t="n">
        <v>15</v>
      </c>
      <c r="K5" s="7" t="s">
        <v>25</v>
      </c>
      <c r="L5" s="7" t="s">
        <v>26</v>
      </c>
    </row>
    <row r="7" customFormat="false" ht="24" hidden="false" customHeight="true" outlineLevel="0" collapsed="false">
      <c r="A7" s="8" t="s">
        <v>27</v>
      </c>
      <c r="B7" s="8" t="s">
        <v>28</v>
      </c>
      <c r="C7" s="8" t="s">
        <v>29</v>
      </c>
      <c r="D7" s="8" t="s">
        <v>30</v>
      </c>
      <c r="E7" s="8" t="s">
        <v>31</v>
      </c>
      <c r="F7" s="8" t="s">
        <v>32</v>
      </c>
      <c r="G7" s="8" t="s">
        <v>33</v>
      </c>
      <c r="H7" s="8" t="s">
        <v>34</v>
      </c>
      <c r="I7" s="8" t="s">
        <v>35</v>
      </c>
      <c r="J7" s="8" t="s">
        <v>36</v>
      </c>
    </row>
    <row r="8" customFormat="false" ht="21.75" hidden="false" customHeight="true" outlineLevel="0" collapsed="false">
      <c r="A8" s="9" t="n">
        <v>1</v>
      </c>
      <c r="B8" s="7" t="s">
        <v>37</v>
      </c>
      <c r="C8" s="7" t="s">
        <v>38</v>
      </c>
      <c r="D8" s="9" t="s">
        <v>39</v>
      </c>
      <c r="E8" s="6" t="n">
        <v>100</v>
      </c>
      <c r="F8" s="6" t="n">
        <v>95</v>
      </c>
      <c r="G8" s="7" t="n">
        <v>0</v>
      </c>
      <c r="H8" s="10" t="n">
        <f aca="false">E8*F8*(1-G8/100)</f>
        <v>9500</v>
      </c>
      <c r="I8" s="11" t="n">
        <f aca="false">H8*($J$5/100)</f>
        <v>1425</v>
      </c>
      <c r="J8" s="12" t="n">
        <f aca="false">H8+I8</f>
        <v>10925</v>
      </c>
    </row>
    <row r="9" customFormat="false" ht="21.75" hidden="false" customHeight="true" outlineLevel="0" collapsed="false">
      <c r="A9" s="9" t="n">
        <v>2</v>
      </c>
      <c r="B9" s="7" t="s">
        <v>40</v>
      </c>
      <c r="C9" s="7" t="s">
        <v>41</v>
      </c>
      <c r="D9" s="9" t="s">
        <v>39</v>
      </c>
      <c r="E9" s="6" t="n">
        <v>20</v>
      </c>
      <c r="F9" s="6" t="n">
        <v>180</v>
      </c>
      <c r="G9" s="7" t="n">
        <v>5</v>
      </c>
      <c r="H9" s="10" t="n">
        <f aca="false">E9*F9*(1-G9/100)</f>
        <v>3420</v>
      </c>
      <c r="I9" s="11" t="n">
        <f aca="false">H9*($J$5/100)</f>
        <v>513</v>
      </c>
      <c r="J9" s="12" t="n">
        <f aca="false">H9+I9</f>
        <v>3933</v>
      </c>
    </row>
    <row r="10" customFormat="false" ht="21.75" hidden="false" customHeight="true" outlineLevel="0" collapsed="false">
      <c r="A10" s="9" t="n">
        <v>3</v>
      </c>
      <c r="B10" s="7" t="s">
        <v>42</v>
      </c>
      <c r="C10" s="7" t="s">
        <v>43</v>
      </c>
      <c r="D10" s="9" t="s">
        <v>44</v>
      </c>
      <c r="E10" s="6" t="n">
        <v>15</v>
      </c>
      <c r="F10" s="6" t="n">
        <v>28</v>
      </c>
      <c r="G10" s="7" t="n">
        <v>0</v>
      </c>
      <c r="H10" s="10" t="n">
        <f aca="false">E10*F10*(1-G10/100)</f>
        <v>420</v>
      </c>
      <c r="I10" s="11" t="n">
        <f aca="false">H10*($J$5/100)</f>
        <v>63</v>
      </c>
      <c r="J10" s="12" t="n">
        <f aca="false">H10+I10</f>
        <v>483</v>
      </c>
    </row>
    <row r="11" customFormat="false" ht="19.5" hidden="false" customHeight="true" outlineLevel="0" collapsed="false">
      <c r="A11" s="13"/>
      <c r="B11" s="13"/>
      <c r="C11" s="13"/>
      <c r="D11" s="13"/>
      <c r="E11" s="13"/>
      <c r="F11" s="13"/>
      <c r="G11" s="13"/>
      <c r="H11" s="14" t="str">
        <f aca="false">IF(OR(E11="",E11=0),"",E11*F11*(1-G11/100))</f>
        <v/>
      </c>
      <c r="I11" s="14" t="str">
        <f aca="false">IF(H11="","",H11*($J$5/100))</f>
        <v/>
      </c>
      <c r="J11" s="15" t="str">
        <f aca="false">IF(H11="","",H11+I11)</f>
        <v/>
      </c>
    </row>
    <row r="12" customFormat="false" ht="19.5" hidden="false" customHeight="true" outlineLevel="0" collapsed="false">
      <c r="A12" s="16"/>
      <c r="B12" s="16"/>
      <c r="C12" s="16"/>
      <c r="D12" s="16"/>
      <c r="E12" s="16"/>
      <c r="F12" s="16"/>
      <c r="G12" s="16"/>
      <c r="H12" s="17" t="str">
        <f aca="false">IF(OR(E12="",E12=0),"",E12*F12*(1-G12/100))</f>
        <v/>
      </c>
      <c r="I12" s="17" t="str">
        <f aca="false">IF(H12="","",H12*($J$5/100))</f>
        <v/>
      </c>
      <c r="J12" s="18" t="str">
        <f aca="false">IF(H12="","",H12+I12)</f>
        <v/>
      </c>
    </row>
    <row r="13" customFormat="false" ht="19.5" hidden="false" customHeight="true" outlineLevel="0" collapsed="false">
      <c r="A13" s="13"/>
      <c r="B13" s="13"/>
      <c r="C13" s="13"/>
      <c r="D13" s="13"/>
      <c r="E13" s="13"/>
      <c r="F13" s="13"/>
      <c r="G13" s="13"/>
      <c r="H13" s="14" t="str">
        <f aca="false">IF(OR(E13="",E13=0),"",E13*F13*(1-G13/100))</f>
        <v/>
      </c>
      <c r="I13" s="14" t="str">
        <f aca="false">IF(H13="","",H13*($J$5/100))</f>
        <v/>
      </c>
      <c r="J13" s="15" t="str">
        <f aca="false">IF(H13="","",H13+I13)</f>
        <v/>
      </c>
    </row>
    <row r="14" customFormat="false" ht="19.5" hidden="false" customHeight="true" outlineLevel="0" collapsed="false">
      <c r="A14" s="16"/>
      <c r="B14" s="16"/>
      <c r="C14" s="16"/>
      <c r="D14" s="16"/>
      <c r="E14" s="16"/>
      <c r="F14" s="16"/>
      <c r="G14" s="16"/>
      <c r="H14" s="17" t="str">
        <f aca="false">IF(OR(E14="",E14=0),"",E14*F14*(1-G14/100))</f>
        <v/>
      </c>
      <c r="I14" s="17" t="str">
        <f aca="false">IF(H14="","",H14*($J$5/100))</f>
        <v/>
      </c>
      <c r="J14" s="18" t="str">
        <f aca="false">IF(H14="","",H14+I14)</f>
        <v/>
      </c>
    </row>
    <row r="15" customFormat="false" ht="19.5" hidden="false" customHeight="true" outlineLevel="0" collapsed="false">
      <c r="A15" s="13"/>
      <c r="B15" s="13"/>
      <c r="C15" s="13"/>
      <c r="D15" s="13"/>
      <c r="E15" s="13"/>
      <c r="F15" s="13"/>
      <c r="G15" s="13"/>
      <c r="H15" s="14" t="str">
        <f aca="false">IF(OR(E15="",E15=0),"",E15*F15*(1-G15/100))</f>
        <v/>
      </c>
      <c r="I15" s="14" t="str">
        <f aca="false">IF(H15="","",H15*($J$5/100))</f>
        <v/>
      </c>
      <c r="J15" s="15" t="str">
        <f aca="false">IF(H15="","",H15+I15)</f>
        <v/>
      </c>
    </row>
    <row r="16" customFormat="false" ht="19.5" hidden="false" customHeight="true" outlineLevel="0" collapsed="false">
      <c r="A16" s="16"/>
      <c r="B16" s="16"/>
      <c r="C16" s="16"/>
      <c r="D16" s="16"/>
      <c r="E16" s="16"/>
      <c r="F16" s="16"/>
      <c r="G16" s="16"/>
      <c r="H16" s="17" t="str">
        <f aca="false">IF(OR(E16="",E16=0),"",E16*F16*(1-G16/100))</f>
        <v/>
      </c>
      <c r="I16" s="17" t="str">
        <f aca="false">IF(H16="","",H16*($J$5/100))</f>
        <v/>
      </c>
      <c r="J16" s="18" t="str">
        <f aca="false">IF(H16="","",H16+I16)</f>
        <v/>
      </c>
    </row>
    <row r="17" customFormat="false" ht="19.5" hidden="false" customHeight="true" outlineLevel="0" collapsed="false">
      <c r="A17" s="13"/>
      <c r="B17" s="13"/>
      <c r="C17" s="13"/>
      <c r="D17" s="13"/>
      <c r="E17" s="13"/>
      <c r="F17" s="13"/>
      <c r="G17" s="13"/>
      <c r="H17" s="14" t="str">
        <f aca="false">IF(OR(E17="",E17=0),"",E17*F17*(1-G17/100))</f>
        <v/>
      </c>
      <c r="I17" s="14" t="str">
        <f aca="false">IF(H17="","",H17*($J$5/100))</f>
        <v/>
      </c>
      <c r="J17" s="15" t="str">
        <f aca="false">IF(H17="","",H17+I17)</f>
        <v/>
      </c>
    </row>
    <row r="18" customFormat="false" ht="19.5" hidden="false" customHeight="true" outlineLevel="0" collapsed="false">
      <c r="A18" s="16"/>
      <c r="B18" s="16"/>
      <c r="C18" s="16"/>
      <c r="D18" s="16"/>
      <c r="E18" s="16"/>
      <c r="F18" s="16"/>
      <c r="G18" s="16"/>
      <c r="H18" s="17" t="str">
        <f aca="false">IF(OR(E18="",E18=0),"",E18*F18*(1-G18/100))</f>
        <v/>
      </c>
      <c r="I18" s="17" t="str">
        <f aca="false">IF(H18="","",H18*($J$5/100))</f>
        <v/>
      </c>
      <c r="J18" s="18" t="str">
        <f aca="false">IF(H18="","",H18+I18)</f>
        <v/>
      </c>
    </row>
    <row r="19" customFormat="false" ht="19.5" hidden="false" customHeight="true" outlineLevel="0" collapsed="false">
      <c r="A19" s="13"/>
      <c r="B19" s="13"/>
      <c r="C19" s="13"/>
      <c r="D19" s="13"/>
      <c r="E19" s="13"/>
      <c r="F19" s="13"/>
      <c r="G19" s="13"/>
      <c r="H19" s="14" t="str">
        <f aca="false">IF(OR(E19="",E19=0),"",E19*F19*(1-G19/100))</f>
        <v/>
      </c>
      <c r="I19" s="14" t="str">
        <f aca="false">IF(H19="","",H19*($J$5/100))</f>
        <v/>
      </c>
      <c r="J19" s="15" t="str">
        <f aca="false">IF(H19="","",H19+I19)</f>
        <v/>
      </c>
    </row>
    <row r="20" customFormat="false" ht="19.5" hidden="false" customHeight="true" outlineLevel="0" collapsed="false">
      <c r="A20" s="16"/>
      <c r="B20" s="16"/>
      <c r="C20" s="16"/>
      <c r="D20" s="16"/>
      <c r="E20" s="16"/>
      <c r="F20" s="16"/>
      <c r="G20" s="16"/>
      <c r="H20" s="17" t="str">
        <f aca="false">IF(OR(E20="",E20=0),"",E20*F20*(1-G20/100))</f>
        <v/>
      </c>
      <c r="I20" s="17" t="str">
        <f aca="false">IF(H20="","",H20*($J$5/100))</f>
        <v/>
      </c>
      <c r="J20" s="18" t="str">
        <f aca="false">IF(H20="","",H20+I20)</f>
        <v/>
      </c>
    </row>
    <row r="21" customFormat="false" ht="19.5" hidden="false" customHeight="true" outlineLevel="0" collapsed="false">
      <c r="A21" s="13"/>
      <c r="B21" s="13"/>
      <c r="C21" s="13"/>
      <c r="D21" s="13"/>
      <c r="E21" s="13"/>
      <c r="F21" s="13"/>
      <c r="G21" s="13"/>
      <c r="H21" s="14" t="str">
        <f aca="false">IF(OR(E21="",E21=0),"",E21*F21*(1-G21/100))</f>
        <v/>
      </c>
      <c r="I21" s="14" t="str">
        <f aca="false">IF(H21="","",H21*($J$5/100))</f>
        <v/>
      </c>
      <c r="J21" s="15" t="str">
        <f aca="false">IF(H21="","",H21+I21)</f>
        <v/>
      </c>
    </row>
    <row r="22" customFormat="false" ht="19.5" hidden="false" customHeight="true" outlineLevel="0" collapsed="false">
      <c r="A22" s="16"/>
      <c r="B22" s="16"/>
      <c r="C22" s="16"/>
      <c r="D22" s="16"/>
      <c r="E22" s="16"/>
      <c r="F22" s="16"/>
      <c r="G22" s="16"/>
      <c r="H22" s="17" t="str">
        <f aca="false">IF(OR(E22="",E22=0),"",E22*F22*(1-G22/100))</f>
        <v/>
      </c>
      <c r="I22" s="17" t="str">
        <f aca="false">IF(H22="","",H22*($J$5/100))</f>
        <v/>
      </c>
      <c r="J22" s="18" t="str">
        <f aca="false">IF(H22="","",H22+I22)</f>
        <v/>
      </c>
    </row>
    <row r="23" customFormat="false" ht="19.5" hidden="false" customHeight="true" outlineLevel="0" collapsed="false">
      <c r="A23" s="13"/>
      <c r="B23" s="13"/>
      <c r="C23" s="13"/>
      <c r="D23" s="13"/>
      <c r="E23" s="13"/>
      <c r="F23" s="13"/>
      <c r="G23" s="13"/>
      <c r="H23" s="14" t="str">
        <f aca="false">IF(OR(E23="",E23=0),"",E23*F23*(1-G23/100))</f>
        <v/>
      </c>
      <c r="I23" s="14" t="str">
        <f aca="false">IF(H23="","",H23*($J$5/100))</f>
        <v/>
      </c>
      <c r="J23" s="15" t="str">
        <f aca="false">IF(H23="","",H23+I23)</f>
        <v/>
      </c>
    </row>
    <row r="24" customFormat="false" ht="19.5" hidden="false" customHeight="true" outlineLevel="0" collapsed="false">
      <c r="A24" s="16"/>
      <c r="B24" s="16"/>
      <c r="C24" s="16"/>
      <c r="D24" s="16"/>
      <c r="E24" s="16"/>
      <c r="F24" s="16"/>
      <c r="G24" s="16"/>
      <c r="H24" s="17" t="str">
        <f aca="false">IF(OR(E24="",E24=0),"",E24*F24*(1-G24/100))</f>
        <v/>
      </c>
      <c r="I24" s="17" t="str">
        <f aca="false">IF(H24="","",H24*($J$5/100))</f>
        <v/>
      </c>
      <c r="J24" s="18" t="str">
        <f aca="false">IF(H24="","",H24+I24)</f>
        <v/>
      </c>
    </row>
    <row r="25" customFormat="false" ht="19.5" hidden="false" customHeight="true" outlineLevel="0" collapsed="false">
      <c r="A25" s="13"/>
      <c r="B25" s="13"/>
      <c r="C25" s="13"/>
      <c r="D25" s="13"/>
      <c r="E25" s="13"/>
      <c r="F25" s="13"/>
      <c r="G25" s="13"/>
      <c r="H25" s="14" t="str">
        <f aca="false">IF(OR(E25="",E25=0),"",E25*F25*(1-G25/100))</f>
        <v/>
      </c>
      <c r="I25" s="14" t="str">
        <f aca="false">IF(H25="","",H25*($J$5/100))</f>
        <v/>
      </c>
      <c r="J25" s="15" t="str">
        <f aca="false">IF(H25="","",H25+I25)</f>
        <v/>
      </c>
    </row>
    <row r="27" customFormat="false" ht="24" hidden="false" customHeight="true" outlineLevel="0" collapsed="false">
      <c r="A27" s="19" t="s">
        <v>45</v>
      </c>
      <c r="B27" s="19"/>
      <c r="C27" s="19"/>
      <c r="D27" s="19"/>
      <c r="E27" s="19"/>
      <c r="F27" s="19"/>
      <c r="G27" s="19"/>
      <c r="H27" s="19"/>
      <c r="I27" s="19"/>
      <c r="J27" s="20" t="n">
        <f aca="false">SUM(H8:H26)</f>
        <v>13340</v>
      </c>
    </row>
    <row r="28" customFormat="false" ht="24" hidden="false" customHeight="true" outlineLevel="0" collapsed="false">
      <c r="A28" s="19" t="s">
        <v>46</v>
      </c>
      <c r="B28" s="19"/>
      <c r="C28" s="19"/>
      <c r="D28" s="19"/>
      <c r="E28" s="19"/>
      <c r="F28" s="19"/>
      <c r="G28" s="19"/>
      <c r="H28" s="19"/>
      <c r="I28" s="19"/>
      <c r="J28" s="20" t="n">
        <f aca="false">SUM(I8:I26)</f>
        <v>2001</v>
      </c>
    </row>
    <row r="29" customFormat="false" ht="24" hidden="false" customHeight="true" outlineLevel="0" collapsed="false">
      <c r="A29" s="21" t="s">
        <v>47</v>
      </c>
      <c r="B29" s="21"/>
      <c r="C29" s="21"/>
      <c r="D29" s="21"/>
      <c r="E29" s="21"/>
      <c r="F29" s="21"/>
      <c r="G29" s="21"/>
      <c r="H29" s="21"/>
      <c r="I29" s="21"/>
      <c r="J29" s="22" t="n">
        <f aca="false">SUM(J8:J26)</f>
        <v>15341</v>
      </c>
    </row>
    <row r="31" customFormat="false" ht="18" hidden="false" customHeight="true" outlineLevel="0" collapsed="false">
      <c r="A31" s="23" t="s">
        <v>48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</sheetData>
  <mergeCells count="8">
    <mergeCell ref="A1:L1"/>
    <mergeCell ref="A2:L2"/>
    <mergeCell ref="A3:F3"/>
    <mergeCell ref="G3:L3"/>
    <mergeCell ref="A27:I27"/>
    <mergeCell ref="A28:I28"/>
    <mergeCell ref="A29:I29"/>
    <mergeCell ref="A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2026-06-15T20:13:27Z</dcterms:created>
  <dc:creator>openpyxl</dc:creator>
  <dc:description/>
  <dc:language>en-US</dc:language>
  <cp:lastModifiedBy/>
  <dcterms:modified xsi:type="dcterms:W3CDTF">2026-06-15T20:13:59Z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